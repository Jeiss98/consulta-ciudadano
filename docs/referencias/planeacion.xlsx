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\Desktop\"/>
    </mc:Choice>
  </mc:AlternateContent>
  <xr:revisionPtr revIDLastSave="0" documentId="13_ncr:1_{4776A9B7-FEFF-4943-8F06-7F6DECF27B04}" xr6:coauthVersionLast="47" xr6:coauthVersionMax="47" xr10:uidLastSave="{00000000-0000-0000-0000-000000000000}"/>
  <bookViews>
    <workbookView xWindow="-120" yWindow="-120" windowWidth="29040" windowHeight="15720" activeTab="4" xr2:uid="{516F5EA5-B683-4CCB-B147-4C9069E0FC1C}"/>
  </bookViews>
  <sheets>
    <sheet name="Historias de usuario" sheetId="1" r:id="rId1"/>
    <sheet name="Estimación por PERT" sheetId="2" r:id="rId2"/>
    <sheet name="Planning Poker" sheetId="3" r:id="rId3"/>
    <sheet name="Capacidad del equipo" sheetId="4" r:id="rId4"/>
    <sheet name="Release plan" sheetId="5" r:id="rId5"/>
  </sheets>
  <externalReferences>
    <externalReference r:id="rId6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5" l="1"/>
  <c r="G8" i="5"/>
  <c r="G7" i="5"/>
  <c r="G6" i="5"/>
  <c r="G5" i="5"/>
  <c r="G4" i="5"/>
  <c r="G3" i="5"/>
  <c r="B7" i="4"/>
  <c r="B9" i="4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F12" i="2"/>
  <c r="E12" i="2"/>
  <c r="D12" i="2"/>
  <c r="G11" i="2"/>
  <c r="G10" i="2"/>
  <c r="G9" i="2"/>
  <c r="G8" i="2"/>
  <c r="G7" i="2"/>
  <c r="G6" i="2"/>
  <c r="G5" i="2"/>
  <c r="G4" i="2"/>
  <c r="G3" i="2"/>
  <c r="G12" i="2" s="1"/>
</calcChain>
</file>

<file path=xl/sharedStrings.xml><?xml version="1.0" encoding="utf-8"?>
<sst xmlns="http://schemas.openxmlformats.org/spreadsheetml/2006/main" count="165" uniqueCount="129">
  <si>
    <t>HU</t>
  </si>
  <si>
    <t>Título</t>
  </si>
  <si>
    <t>Rol</t>
  </si>
  <si>
    <t>Criterios de aceptación</t>
  </si>
  <si>
    <t>Base</t>
  </si>
  <si>
    <t>HU-001</t>
  </si>
  <si>
    <t>Gestión de usuarios, perfiles y permisos</t>
  </si>
  <si>
    <t>Administrador</t>
  </si>
  <si>
    <t>Registrar usuarios asignándoles un perfil y permisos, con la contraseña almacenada de forma cifrada.</t>
  </si>
  <si>
    <t>Controlar quién accede al sistema y qué acciones puede realizar. Es la funcionalidad habilitante: sin usuarios, perfiles y permisos ningún otro actor puede operar la plataforma web ni la app móvil.</t>
  </si>
  <si>
    <t>1. El sistema valida el formato de los datos (identificación, nombres, apellidos, correo) y de la contraseña: 6 caracteres como mínimo, con al menos una mayúscula, una minúscula y un número.
2. Permite asignar uno o varios perfiles (Administrador, Personal de fuerza pública) y definir las opciones y permisos de cada perfil.
3. Almacena la contraseña cifrada con un algoritmo conocido y probado (bcrypt); nunca en texto plano.
4. Permite editar, activar e inactivar usuarios; un usuario inactivo no puede autenticarse.
5. Restringe el acceso a las opciones del sistema según los permisos del perfil del usuario.
6. Registra en auditoría cada movimiento sobre usuarios (acción, usuario, fecha y hora).</t>
  </si>
  <si>
    <t>Sí</t>
  </si>
  <si>
    <t>HU-002</t>
  </si>
  <si>
    <t>Gestión de ciudadanos</t>
  </si>
  <si>
    <t>Crear, consultar, actualizar y eliminar (inactivar) ciudadanos con los datos de su cédula y su estado Requerido / No requerido.</t>
  </si>
  <si>
    <t>Mantener actualizada la información que la fuerza pública consultará en campo.</t>
  </si>
  <si>
    <t>1. Almacena: nombres, apellidos, identificación, fecha y lugar de nacimiento, fecha y lugar de expedición, RH, grupo sanguíneo y estatura.
2. Valida formatos (fechas, estatura numérica, grupo sanguíneo A/B/AB/O y RH +/−) y campos obligatorios.
3. No permite registrar dos ciudadanos con la misma identificación.
4. Permite buscar por identificación, nombres o apellidos.
5. Permite marcar y cambiar el estado Requerido / No requerido.
6. Solo el perfil Administrador puede usar esta opción.</t>
  </si>
  <si>
    <t>HU-003</t>
  </si>
  <si>
    <t>Servicios de integración (REST, Dep. Defensa y correo)</t>
  </si>
  <si>
    <t>Sistema de registro (integración)</t>
  </si>
  <si>
    <t>Exponer servicios REST para la app móvil y consumir el servicio de validación del Departamento de Defensa y el servicio de correo.</t>
  </si>
  <si>
    <t>Permitir que la app móvil se integre con el back-end y que se valide la identidad del personal de la fuerza pública antes de darle acceso.</t>
  </si>
  <si>
    <t>1. Expone servicios REST (JSON) de registro, login y consulta, protegidos con token de acceso.
2. Consume el servicio del Departamento de Defensa (simulado) y recibe una respuesta válido / no válido.
3. Envía correos mediante SMTP y registra el resultado del envío.
4. Maneja errores y tiempos de espera devolviendo mensajes claros a la app.
5. Documenta los contratos de servicio (endpoint, petición y respuesta).
6. La comunicación entre la app y el servidor usa HTTPS.</t>
  </si>
  <si>
    <t>HU-004</t>
  </si>
  <si>
    <t>Registro del personal de la fuerza pública</t>
  </si>
  <si>
    <t>Personal de la fuerza pública</t>
  </si>
  <si>
    <t>Registrarme en la app ingresando mis datos principales.</t>
  </si>
  <si>
    <t>Obtener credenciales de acceso una vez que mis datos sean validados contra el Departamento de Defensa.</t>
  </si>
  <si>
    <t>1. Solicita: identificación, nombres, apellidos, fuerza pública (Policía, Ejército, Armada o Fuerza Aérea), rango, ID fuerza y correo electrónico.
2. La lista de rangos depende de la fuerza pública seleccionada; todos los campos son obligatorios y se validan.
3. Valida los datos contra la base del Departamento de Defensa; si no coinciden, rechaza el registro con un mensaje.
4. Si son correctos, genera una contraseña automática de 6 caracteres con mayúscula, minúscula y número.
5. Almacena la contraseña cifrada y envía un correo de confirmación con la contraseña generada.
6. No permite registrar dos veces la misma identificación.</t>
  </si>
  <si>
    <t>HU-005</t>
  </si>
  <si>
    <t>Inicio de sesión en la app móvil</t>
  </si>
  <si>
    <t>Ingresar mi identificación y contraseña para autenticarme, con la opción de recordar mis credenciales.</t>
  </si>
  <si>
    <t>Acceder de forma segura a la consulta de antecedentes judiciales.</t>
  </si>
  <si>
    <t>1. Solicita identificación y contraseña (ambas obligatorias).
2. Valida las credenciales contra la contraseña cifrada y responde con un mensaje genérico si son inválidas.
3. Un usuario inactivo o no registrado no puede ingresar.
4. La opción “Recordar contraseña” guarda las credenciales en el almacenamiento seguro del dispositivo.
5. La sesión usa un token con vencimiento.
6. Tras 5 intentos fallidos consecutivos bloquea temporalmente el acceso.</t>
  </si>
  <si>
    <t>HU-006</t>
  </si>
  <si>
    <t>Consulta de antecedentes por código de barras</t>
  </si>
  <si>
    <t>Leer con mi teléfono o tablet el código de barras de la cédula del ciudadano y consultar sus antecedentes judiciales.</t>
  </si>
  <si>
    <t>Saber en el momento y en cualquier lugar si el ciudadano es requerido o no.</t>
  </si>
  <si>
    <t>1. Usa la cámara del dispositivo previa autorización del permiso.
2. Extrae el número de identificación del código de barras.
3. Consulta al servidor y muestra el resultado: Requerido o No requerido, con indicador visual claro.
4. Si el ciudadano no existe en la base, muestra el mensaje “Ciudadano no encontrado”.
5. Solo permite consultar a usuarios autenticados.
6. Registra cada consulta (usuario, identificación consultada, fecha y hora).
7. Responde en máximo 3 segundos con conexión estable.</t>
  </si>
  <si>
    <t>HU-007</t>
  </si>
  <si>
    <t>Reporte de ciudadanos en PDF</t>
  </si>
  <si>
    <t>Generar un reporte de los ciudadanos filtrando por Requeridos / No requeridos.</t>
  </si>
  <si>
    <t>Revisar y compartir el resultado de las consultas en un documento PDF.</t>
  </si>
  <si>
    <t>1. Permite filtrar por Requeridos, No requeridos o Todos.
2. El reporte muestra Identificación, Nombres y Apellidos de cada ciudadano.
3. Se genera y descarga en formato PDF.
4. Incluye encabezado con el filtro aplicado, fecha y hora, y total de registros.
5. Si no hay resultados, informa al usuario en lugar de generar un reporte vacío.
6. Solo el perfil Administrador puede generarlo.</t>
  </si>
  <si>
    <t xml:space="preserve">Funcionalidad </t>
  </si>
  <si>
    <t xml:space="preserve">Beneficio </t>
  </si>
  <si>
    <t>Historias de usuario</t>
  </si>
  <si>
    <t>ID</t>
  </si>
  <si>
    <t>Tarea</t>
  </si>
  <si>
    <t>Capa</t>
  </si>
  <si>
    <t>Pesimista</t>
  </si>
  <si>
    <t>Esperado</t>
  </si>
  <si>
    <t>Optimista</t>
  </si>
  <si>
    <t>PERT (h)</t>
  </si>
  <si>
    <t>T1</t>
  </si>
  <si>
    <t>Modelar entidades Usuario, Perfil, Opción y Permiso (relaciones) y crear el script de BD</t>
  </si>
  <si>
    <t>Base de datos / ORM</t>
  </si>
  <si>
    <t>T2</t>
  </si>
  <si>
    <t>Construir el formulario web de registro y edición de usuario con selección de perfil</t>
  </si>
  <si>
    <t>Front-end web</t>
  </si>
  <si>
    <t>T3</t>
  </si>
  <si>
    <t>Implementar la validación de formato de datos y de la política de contraseña</t>
  </si>
  <si>
    <t>Back-end</t>
  </si>
  <si>
    <t>T4</t>
  </si>
  <si>
    <t>Implementar el cifrado de la contraseña (bcrypt)</t>
  </si>
  <si>
    <t>Seguridad</t>
  </si>
  <si>
    <t>T5</t>
  </si>
  <si>
    <t>Implementar activar / inactivar usuario</t>
  </si>
  <si>
    <t>T6</t>
  </si>
  <si>
    <t>Construir la gestión de perfiles, opciones y permisos</t>
  </si>
  <si>
    <t>Back-end / Front-end</t>
  </si>
  <si>
    <t>T7</t>
  </si>
  <si>
    <t>Implementar el control de acceso por permisos (filtro/interceptor de seguridad)</t>
  </si>
  <si>
    <t>T8</t>
  </si>
  <si>
    <t>Implementar la auditoría de las operaciones sobre usuarios</t>
  </si>
  <si>
    <t>T9</t>
  </si>
  <si>
    <t>Pruebas unitarias y de integración de la HU</t>
  </si>
  <si>
    <t>Calidad (QA)</t>
  </si>
  <si>
    <t>Total</t>
  </si>
  <si>
    <t>Estimación por PERT</t>
  </si>
  <si>
    <t>Historia</t>
  </si>
  <si>
    <t>Gustavo</t>
  </si>
  <si>
    <t>Julian</t>
  </si>
  <si>
    <t>Jeisson</t>
  </si>
  <si>
    <t>Steven</t>
  </si>
  <si>
    <t>Consenso (PHU)</t>
  </si>
  <si>
    <t>Horas</t>
  </si>
  <si>
    <t>Planning Poker</t>
  </si>
  <si>
    <t>Parámetro</t>
  </si>
  <si>
    <t>Valor</t>
  </si>
  <si>
    <t>Cantidad de personas</t>
  </si>
  <si>
    <t>Dedicación (h por semana por persona)</t>
  </si>
  <si>
    <t>Duración del sprint (semanas)</t>
  </si>
  <si>
    <t>Factor de productividad</t>
  </si>
  <si>
    <t>Capacidad total por sprint (h)</t>
  </si>
  <si>
    <t>PHU en horas</t>
  </si>
  <si>
    <t>PHU por sprint</t>
  </si>
  <si>
    <t>Capacidad del equipo</t>
  </si>
  <si>
    <t>Historia de usuario</t>
  </si>
  <si>
    <t>S1</t>
  </si>
  <si>
    <t>S2</t>
  </si>
  <si>
    <t>S3</t>
  </si>
  <si>
    <t>S4</t>
  </si>
  <si>
    <t>S5</t>
  </si>
  <si>
    <t>HU-001 · Gestión de usuarios, perfiles y permisos</t>
  </si>
  <si>
    <t>HU-002 · Gestión de ciudadanos</t>
  </si>
  <si>
    <t>HU-003 · Servicios de integración (REST, Dep. Defensa y correo)</t>
  </si>
  <si>
    <t>HU-004 · Registro del personal de la fuerza pública</t>
  </si>
  <si>
    <t>HU-005 · Inicio de sesión en la app móvil</t>
  </si>
  <si>
    <t>HU-006 · Consulta de antecedentes por código de barras</t>
  </si>
  <si>
    <t>HU-007 · Reporte de ciudadanos en PDF</t>
  </si>
  <si>
    <t>Release plan</t>
  </si>
  <si>
    <t>Ceremonia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</si>
  <si>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</si>
  <si>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</si>
  <si>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</si>
  <si>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</si>
  <si>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</si>
  <si>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</si>
  <si>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</si>
  <si>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</si>
  <si>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</si>
  <si>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</si>
  <si>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Sprint planning (máx. 4 h)</t>
  </si>
  <si>
    <t>●</t>
  </si>
  <si>
    <t>Daily (15 min)</t>
  </si>
  <si>
    <t>Refinamiento del backlog (1 h)</t>
  </si>
  <si>
    <t>Sprint review (1 h)</t>
  </si>
  <si>
    <t>Retrospectiva (1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</si>
</sst>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1F3864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rgb="FFC0C0C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5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stavo\Desktop\Planeacion%20Consulta%20Ciudadano.xlsx" TargetMode="External"/><Relationship Id="rId1" Type="http://schemas.openxmlformats.org/officeDocument/2006/relationships/externalLinkPath" Target="Planeacion%20Consulta%20Ciudada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yenda"/>
      <sheetName val="Actor-Proceso-Funcionalidad"/>
      <sheetName val="HU"/>
      <sheetName val="PERT"/>
      <sheetName val="PlanningPoker"/>
      <sheetName val="Capacidad"/>
      <sheetName val="ReleasePlan"/>
    </sheetNames>
    <sheetDataSet>
      <sheetData sheetId="0"/>
      <sheetData sheetId="1"/>
      <sheetData sheetId="2"/>
      <sheetData sheetId="3"/>
      <sheetData sheetId="4"/>
      <sheetData sheetId="5">
        <row r="9">
          <cell r="B9">
            <v>30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CF5D-A9F7-4EAE-BF20-36D1804A712F}">
  <dimension ref="A1:G9"/>
  <sheetViews>
    <sheetView workbookViewId="0">
      <selection sqref="A1:G9"/>
    </sheetView>
  </sheetViews>
  <sheetFormatPr baseColWidth="10" defaultRowHeight="15" x14ac:dyDescent="0.25"/>
  <cols>
    <col min="1" max="1" width="28.5703125" customWidth="1"/>
    <col min="2" max="2" width="24.7109375" customWidth="1"/>
    <col min="3" max="3" width="25.5703125" customWidth="1"/>
    <col min="4" max="4" width="46.85546875" customWidth="1"/>
    <col min="5" max="5" width="50.140625" customWidth="1"/>
    <col min="6" max="6" width="58.140625" customWidth="1"/>
    <col min="7" max="7" width="14.42578125" customWidth="1"/>
  </cols>
  <sheetData>
    <row r="1" spans="1:7" ht="18" x14ac:dyDescent="0.25">
      <c r="A1" s="19" t="s">
        <v>46</v>
      </c>
      <c r="B1" s="21"/>
      <c r="C1" s="20"/>
      <c r="D1" s="20"/>
      <c r="E1" s="20"/>
      <c r="F1" s="20"/>
      <c r="G1" s="20"/>
    </row>
    <row r="2" spans="1:7" x14ac:dyDescent="0.25">
      <c r="A2" s="1" t="s">
        <v>0</v>
      </c>
      <c r="B2" s="1" t="s">
        <v>1</v>
      </c>
      <c r="C2" s="1" t="s">
        <v>2</v>
      </c>
      <c r="D2" s="1" t="s">
        <v>44</v>
      </c>
      <c r="E2" s="1" t="s">
        <v>45</v>
      </c>
      <c r="F2" s="1" t="s">
        <v>3</v>
      </c>
      <c r="G2" s="1" t="s">
        <v>4</v>
      </c>
    </row>
    <row r="3" spans="1:7" ht="189" customHeight="1" x14ac:dyDescent="0.25">
      <c r="A3" s="2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4" t="s">
        <v>11</v>
      </c>
    </row>
    <row r="4" spans="1:7" ht="128.25" customHeight="1" x14ac:dyDescent="0.25">
      <c r="A4" s="5" t="s">
        <v>12</v>
      </c>
      <c r="B4" s="6" t="s">
        <v>13</v>
      </c>
      <c r="C4" s="6" t="s">
        <v>7</v>
      </c>
      <c r="D4" s="6" t="s">
        <v>14</v>
      </c>
      <c r="E4" s="6" t="s">
        <v>15</v>
      </c>
      <c r="F4" s="6" t="s">
        <v>16</v>
      </c>
      <c r="G4" s="7"/>
    </row>
    <row r="5" spans="1:7" ht="137.25" customHeight="1" x14ac:dyDescent="0.25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7"/>
    </row>
    <row r="6" spans="1:7" ht="166.5" customHeight="1" x14ac:dyDescent="0.25">
      <c r="A6" s="5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7"/>
    </row>
    <row r="7" spans="1:7" ht="126" customHeight="1" x14ac:dyDescent="0.25">
      <c r="A7" s="5" t="s">
        <v>29</v>
      </c>
      <c r="B7" s="6" t="s">
        <v>30</v>
      </c>
      <c r="C7" s="6" t="s">
        <v>25</v>
      </c>
      <c r="D7" s="6" t="s">
        <v>31</v>
      </c>
      <c r="E7" s="6" t="s">
        <v>32</v>
      </c>
      <c r="F7" s="6" t="s">
        <v>33</v>
      </c>
      <c r="G7" s="7"/>
    </row>
    <row r="8" spans="1:7" ht="141.75" customHeight="1" x14ac:dyDescent="0.25">
      <c r="A8" s="5" t="s">
        <v>34</v>
      </c>
      <c r="B8" s="6" t="s">
        <v>35</v>
      </c>
      <c r="C8" s="6" t="s">
        <v>25</v>
      </c>
      <c r="D8" s="6" t="s">
        <v>36</v>
      </c>
      <c r="E8" s="6" t="s">
        <v>37</v>
      </c>
      <c r="F8" s="6" t="s">
        <v>38</v>
      </c>
      <c r="G8" s="7"/>
    </row>
    <row r="9" spans="1:7" ht="129" customHeight="1" x14ac:dyDescent="0.25">
      <c r="A9" s="5" t="s">
        <v>39</v>
      </c>
      <c r="B9" s="6" t="s">
        <v>40</v>
      </c>
      <c r="C9" s="6" t="s">
        <v>7</v>
      </c>
      <c r="D9" s="6" t="s">
        <v>41</v>
      </c>
      <c r="E9" s="6" t="s">
        <v>42</v>
      </c>
      <c r="F9" s="6" t="s">
        <v>43</v>
      </c>
      <c r="G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DBD8-5CC0-4F1A-B28C-1CC308CF6575}">
  <dimension ref="A1:G12"/>
  <sheetViews>
    <sheetView workbookViewId="0">
      <selection sqref="A1:G12"/>
    </sheetView>
  </sheetViews>
  <sheetFormatPr baseColWidth="10" defaultRowHeight="15" x14ac:dyDescent="0.25"/>
  <cols>
    <col min="1" max="1" width="21" customWidth="1"/>
    <col min="2" max="2" width="23.7109375" customWidth="1"/>
    <col min="3" max="3" width="18" customWidth="1"/>
    <col min="4" max="4" width="12.5703125" customWidth="1"/>
  </cols>
  <sheetData>
    <row r="1" spans="1:7" ht="15.75" x14ac:dyDescent="0.25">
      <c r="A1" s="19" t="s">
        <v>79</v>
      </c>
      <c r="B1" s="20"/>
      <c r="C1" s="20"/>
      <c r="D1" s="20"/>
      <c r="E1" s="20"/>
      <c r="F1" s="20"/>
      <c r="G1" s="20"/>
    </row>
    <row r="2" spans="1:7" x14ac:dyDescent="0.25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spans="1:7" ht="57.75" customHeight="1" x14ac:dyDescent="0.25">
      <c r="A3" s="5" t="s">
        <v>54</v>
      </c>
      <c r="B3" s="6" t="s">
        <v>55</v>
      </c>
      <c r="C3" s="7" t="s">
        <v>56</v>
      </c>
      <c r="D3" s="8">
        <v>5</v>
      </c>
      <c r="E3" s="8">
        <v>3</v>
      </c>
      <c r="F3" s="8">
        <v>2</v>
      </c>
      <c r="G3" s="9">
        <f t="shared" ref="G3:G11" si="0">(D3+4*E3+F3)/6</f>
        <v>3.1666666666666665</v>
      </c>
    </row>
    <row r="4" spans="1:7" ht="62.25" customHeight="1" x14ac:dyDescent="0.25">
      <c r="A4" s="5" t="s">
        <v>57</v>
      </c>
      <c r="B4" s="6" t="s">
        <v>58</v>
      </c>
      <c r="C4" s="7" t="s">
        <v>59</v>
      </c>
      <c r="D4" s="8">
        <v>7</v>
      </c>
      <c r="E4" s="8">
        <v>5</v>
      </c>
      <c r="F4" s="8">
        <v>3</v>
      </c>
      <c r="G4" s="9">
        <f t="shared" si="0"/>
        <v>5</v>
      </c>
    </row>
    <row r="5" spans="1:7" ht="50.25" customHeight="1" x14ac:dyDescent="0.25">
      <c r="A5" s="5" t="s">
        <v>60</v>
      </c>
      <c r="B5" s="6" t="s">
        <v>61</v>
      </c>
      <c r="C5" s="7" t="s">
        <v>62</v>
      </c>
      <c r="D5" s="8">
        <v>4</v>
      </c>
      <c r="E5" s="8">
        <v>3</v>
      </c>
      <c r="F5" s="8">
        <v>2</v>
      </c>
      <c r="G5" s="9">
        <f t="shared" si="0"/>
        <v>3</v>
      </c>
    </row>
    <row r="6" spans="1:7" ht="36.75" customHeight="1" x14ac:dyDescent="0.25">
      <c r="A6" s="5" t="s">
        <v>63</v>
      </c>
      <c r="B6" s="6" t="s">
        <v>64</v>
      </c>
      <c r="C6" s="7" t="s">
        <v>65</v>
      </c>
      <c r="D6" s="8">
        <v>4</v>
      </c>
      <c r="E6" s="8">
        <v>3</v>
      </c>
      <c r="F6" s="8">
        <v>2</v>
      </c>
      <c r="G6" s="9">
        <f t="shared" si="0"/>
        <v>3</v>
      </c>
    </row>
    <row r="7" spans="1:7" ht="36" customHeight="1" x14ac:dyDescent="0.25">
      <c r="A7" s="5" t="s">
        <v>66</v>
      </c>
      <c r="B7" s="6" t="s">
        <v>67</v>
      </c>
      <c r="C7" s="7" t="s">
        <v>62</v>
      </c>
      <c r="D7" s="8">
        <v>3</v>
      </c>
      <c r="E7" s="8">
        <v>2</v>
      </c>
      <c r="F7" s="8">
        <v>1</v>
      </c>
      <c r="G7" s="9">
        <f t="shared" si="0"/>
        <v>2</v>
      </c>
    </row>
    <row r="8" spans="1:7" ht="48" customHeight="1" x14ac:dyDescent="0.25">
      <c r="A8" s="5" t="s">
        <v>68</v>
      </c>
      <c r="B8" s="6" t="s">
        <v>69</v>
      </c>
      <c r="C8" s="7" t="s">
        <v>70</v>
      </c>
      <c r="D8" s="8">
        <v>6</v>
      </c>
      <c r="E8" s="8">
        <v>5</v>
      </c>
      <c r="F8" s="8">
        <v>4</v>
      </c>
      <c r="G8" s="9">
        <f t="shared" si="0"/>
        <v>5</v>
      </c>
    </row>
    <row r="9" spans="1:7" ht="65.25" customHeight="1" x14ac:dyDescent="0.25">
      <c r="A9" s="5" t="s">
        <v>71</v>
      </c>
      <c r="B9" s="6" t="s">
        <v>72</v>
      </c>
      <c r="C9" s="7" t="s">
        <v>65</v>
      </c>
      <c r="D9" s="8">
        <v>5</v>
      </c>
      <c r="E9" s="8">
        <v>4</v>
      </c>
      <c r="F9" s="8">
        <v>3</v>
      </c>
      <c r="G9" s="9">
        <f t="shared" si="0"/>
        <v>4</v>
      </c>
    </row>
    <row r="10" spans="1:7" ht="51" customHeight="1" x14ac:dyDescent="0.25">
      <c r="A10" s="5" t="s">
        <v>73</v>
      </c>
      <c r="B10" s="6" t="s">
        <v>74</v>
      </c>
      <c r="C10" s="7" t="s">
        <v>62</v>
      </c>
      <c r="D10" s="8">
        <v>3</v>
      </c>
      <c r="E10" s="8">
        <v>2</v>
      </c>
      <c r="F10" s="8">
        <v>1</v>
      </c>
      <c r="G10" s="9">
        <f t="shared" si="0"/>
        <v>2</v>
      </c>
    </row>
    <row r="11" spans="1:7" ht="39.75" customHeight="1" x14ac:dyDescent="0.25">
      <c r="A11" s="5" t="s">
        <v>75</v>
      </c>
      <c r="B11" s="6" t="s">
        <v>76</v>
      </c>
      <c r="C11" s="7" t="s">
        <v>77</v>
      </c>
      <c r="D11" s="8">
        <v>5</v>
      </c>
      <c r="E11" s="8">
        <v>3</v>
      </c>
      <c r="F11" s="8">
        <v>2</v>
      </c>
      <c r="G11" s="9">
        <f t="shared" si="0"/>
        <v>3.1666666666666665</v>
      </c>
    </row>
    <row r="12" spans="1:7" x14ac:dyDescent="0.25">
      <c r="A12" s="12" t="s">
        <v>78</v>
      </c>
      <c r="B12" s="13"/>
      <c r="C12" s="14"/>
      <c r="D12" s="10">
        <f>SUM(D3:D11)</f>
        <v>42</v>
      </c>
      <c r="E12" s="10">
        <f>SUM(E3:E11)</f>
        <v>30</v>
      </c>
      <c r="F12" s="10">
        <f>SUM(F3:F11)</f>
        <v>20</v>
      </c>
      <c r="G12" s="11">
        <f>SUM(G3:G11)</f>
        <v>30.333333333333332</v>
      </c>
    </row>
  </sheetData>
  <mergeCells count="1">
    <mergeCell ref="A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37BE-1CDF-4F3B-8A85-590E768EB0DF}">
  <dimension ref="A1:H9"/>
  <sheetViews>
    <sheetView workbookViewId="0">
      <selection activeCell="B14" sqref="B14"/>
    </sheetView>
  </sheetViews>
  <sheetFormatPr baseColWidth="10" defaultRowHeight="15" x14ac:dyDescent="0.25"/>
  <cols>
    <col min="1" max="1" width="17" customWidth="1"/>
    <col min="2" max="2" width="21.5703125" customWidth="1"/>
  </cols>
  <sheetData>
    <row r="1" spans="1:8" ht="15.75" x14ac:dyDescent="0.25">
      <c r="A1" s="19" t="s">
        <v>87</v>
      </c>
      <c r="B1" s="20"/>
      <c r="C1" s="20"/>
      <c r="D1" s="20"/>
      <c r="E1" s="20"/>
      <c r="F1" s="20"/>
      <c r="G1" s="20"/>
      <c r="H1" s="20"/>
    </row>
    <row r="2" spans="1:8" ht="25.5" x14ac:dyDescent="0.25">
      <c r="A2" s="1" t="s">
        <v>0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86</v>
      </c>
    </row>
    <row r="3" spans="1:8" ht="25.5" x14ac:dyDescent="0.25">
      <c r="A3" s="5" t="s">
        <v>5</v>
      </c>
      <c r="B3" s="6" t="s">
        <v>6</v>
      </c>
      <c r="C3" s="8">
        <v>1</v>
      </c>
      <c r="D3" s="8">
        <v>1</v>
      </c>
      <c r="E3" s="8">
        <v>1</v>
      </c>
      <c r="F3" s="8">
        <v>1</v>
      </c>
      <c r="G3" s="2">
        <f t="shared" ref="G3:G9" si="0">MODE(C3:F3)</f>
        <v>1</v>
      </c>
      <c r="H3" s="7">
        <f>G3*[1]Capacidad!$B$9</f>
        <v>30</v>
      </c>
    </row>
    <row r="4" spans="1:8" x14ac:dyDescent="0.25">
      <c r="A4" s="5" t="s">
        <v>12</v>
      </c>
      <c r="B4" s="6" t="s">
        <v>13</v>
      </c>
      <c r="C4" s="8">
        <v>2</v>
      </c>
      <c r="D4" s="8">
        <v>2</v>
      </c>
      <c r="E4" s="8">
        <v>3</v>
      </c>
      <c r="F4" s="8">
        <v>2</v>
      </c>
      <c r="G4" s="2">
        <f t="shared" si="0"/>
        <v>2</v>
      </c>
      <c r="H4" s="7">
        <f>G4*[1]Capacidad!$B$9</f>
        <v>60</v>
      </c>
    </row>
    <row r="5" spans="1:8" ht="38.25" x14ac:dyDescent="0.25">
      <c r="A5" s="5" t="s">
        <v>17</v>
      </c>
      <c r="B5" s="6" t="s">
        <v>18</v>
      </c>
      <c r="C5" s="8">
        <v>5</v>
      </c>
      <c r="D5" s="8">
        <v>3</v>
      </c>
      <c r="E5" s="8">
        <v>5</v>
      </c>
      <c r="F5" s="8">
        <v>8</v>
      </c>
      <c r="G5" s="2">
        <f t="shared" si="0"/>
        <v>5</v>
      </c>
      <c r="H5" s="7">
        <f>G5*[1]Capacidad!$B$9</f>
        <v>150</v>
      </c>
    </row>
    <row r="6" spans="1:8" ht="25.5" x14ac:dyDescent="0.25">
      <c r="A6" s="5" t="s">
        <v>23</v>
      </c>
      <c r="B6" s="6" t="s">
        <v>24</v>
      </c>
      <c r="C6" s="8">
        <v>5</v>
      </c>
      <c r="D6" s="8">
        <v>5</v>
      </c>
      <c r="E6" s="8">
        <v>3</v>
      </c>
      <c r="F6" s="8">
        <v>5</v>
      </c>
      <c r="G6" s="2">
        <f t="shared" si="0"/>
        <v>5</v>
      </c>
      <c r="H6" s="7">
        <f>G6*[1]Capacidad!$B$9</f>
        <v>150</v>
      </c>
    </row>
    <row r="7" spans="1:8" ht="25.5" x14ac:dyDescent="0.25">
      <c r="A7" s="5" t="s">
        <v>29</v>
      </c>
      <c r="B7" s="6" t="s">
        <v>30</v>
      </c>
      <c r="C7" s="8">
        <v>2</v>
      </c>
      <c r="D7" s="8">
        <v>1</v>
      </c>
      <c r="E7" s="8">
        <v>2</v>
      </c>
      <c r="F7" s="8">
        <v>2</v>
      </c>
      <c r="G7" s="2">
        <f t="shared" si="0"/>
        <v>2</v>
      </c>
      <c r="H7" s="7">
        <f>G7*[1]Capacidad!$B$9</f>
        <v>60</v>
      </c>
    </row>
    <row r="8" spans="1:8" ht="38.25" x14ac:dyDescent="0.25">
      <c r="A8" s="5" t="s">
        <v>34</v>
      </c>
      <c r="B8" s="6" t="s">
        <v>35</v>
      </c>
      <c r="C8" s="8">
        <v>8</v>
      </c>
      <c r="D8" s="8">
        <v>5</v>
      </c>
      <c r="E8" s="8">
        <v>8</v>
      </c>
      <c r="F8" s="8">
        <v>8</v>
      </c>
      <c r="G8" s="2">
        <f t="shared" si="0"/>
        <v>8</v>
      </c>
      <c r="H8" s="7">
        <f>G8*[1]Capacidad!$B$9</f>
        <v>240</v>
      </c>
    </row>
    <row r="9" spans="1:8" ht="25.5" x14ac:dyDescent="0.25">
      <c r="A9" s="5" t="s">
        <v>39</v>
      </c>
      <c r="B9" s="6" t="s">
        <v>40</v>
      </c>
      <c r="C9" s="8">
        <v>3</v>
      </c>
      <c r="D9" s="8">
        <v>2</v>
      </c>
      <c r="E9" s="8">
        <v>3</v>
      </c>
      <c r="F9" s="8">
        <v>3</v>
      </c>
      <c r="G9" s="2">
        <f t="shared" si="0"/>
        <v>3</v>
      </c>
      <c r="H9" s="7">
        <f>G9*[1]Capacidad!$B$9</f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4EE0-FB36-410F-93DA-01D5ACF87930}">
  <dimension ref="A1:B9"/>
  <sheetViews>
    <sheetView workbookViewId="0">
      <selection activeCell="B9" sqref="B9"/>
    </sheetView>
  </sheetViews>
  <sheetFormatPr baseColWidth="10" defaultRowHeight="15" x14ac:dyDescent="0.25"/>
  <cols>
    <col min="1" max="1" width="27" customWidth="1"/>
  </cols>
  <sheetData>
    <row r="1" spans="1:2" ht="15.75" x14ac:dyDescent="0.25">
      <c r="A1" s="19" t="s">
        <v>97</v>
      </c>
      <c r="B1" s="20"/>
    </row>
    <row r="2" spans="1:2" x14ac:dyDescent="0.25">
      <c r="A2" s="1" t="s">
        <v>88</v>
      </c>
      <c r="B2" s="1" t="s">
        <v>89</v>
      </c>
    </row>
    <row r="3" spans="1:2" x14ac:dyDescent="0.25">
      <c r="A3" s="22" t="s">
        <v>90</v>
      </c>
      <c r="B3" s="15">
        <v>4</v>
      </c>
    </row>
    <row r="4" spans="1:2" ht="34.5" customHeight="1" x14ac:dyDescent="0.25">
      <c r="A4" s="22" t="s">
        <v>91</v>
      </c>
      <c r="B4" s="15">
        <v>30</v>
      </c>
    </row>
    <row r="5" spans="1:2" ht="26.25" customHeight="1" x14ac:dyDescent="0.25">
      <c r="A5" s="22" t="s">
        <v>92</v>
      </c>
      <c r="B5" s="15">
        <v>2</v>
      </c>
    </row>
    <row r="6" spans="1:2" ht="24.75" customHeight="1" x14ac:dyDescent="0.25">
      <c r="A6" s="22" t="s">
        <v>93</v>
      </c>
      <c r="B6" s="16">
        <v>0.75</v>
      </c>
    </row>
    <row r="7" spans="1:2" ht="20.25" customHeight="1" x14ac:dyDescent="0.25">
      <c r="A7" s="23" t="s">
        <v>94</v>
      </c>
      <c r="B7" s="17">
        <f>B3*B4*B5*B6</f>
        <v>180</v>
      </c>
    </row>
    <row r="8" spans="1:2" ht="17.25" customHeight="1" x14ac:dyDescent="0.25">
      <c r="A8" s="22" t="s">
        <v>95</v>
      </c>
      <c r="B8" s="18">
        <v>30</v>
      </c>
    </row>
    <row r="9" spans="1:2" ht="20.25" customHeight="1" x14ac:dyDescent="0.25">
      <c r="A9" s="23" t="s">
        <v>96</v>
      </c>
      <c r="B9" s="17">
        <f>ROUND(B7/B8,0)</f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43B9-F302-4D12-A27D-F6D95A8534F3}">
  <dimension ref="A1:K17"/>
  <sheetViews>
    <sheetView tabSelected="1" workbookViewId="0">
      <selection activeCell="N19" sqref="N19"/>
    </sheetView>
  </sheetViews>
  <sheetFormatPr baseColWidth="10" defaultRowHeight="15" x14ac:dyDescent="0.25"/>
  <cols>
    <col min="1" max="1" width="20.7109375" customWidth="1"/>
  </cols>
  <sheetData>
    <row r="1" spans="1:11" ht="15.75" x14ac:dyDescent="0.25">
      <c r="A1" s="19" t="s">
        <v>111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78</v>
      </c>
      <c r="H2" s="20"/>
      <c r="I2" s="20"/>
      <c r="J2" s="20"/>
      <c r="K2" s="20"/>
    </row>
    <row r="3" spans="1:11" ht="45.75" customHeight="1" x14ac:dyDescent="0.25">
      <c r="A3" s="24" t="s">
        <v>104</v>
      </c>
      <c r="B3" s="25">
        <v>1</v>
      </c>
      <c r="C3" s="15">
        <v>0</v>
      </c>
      <c r="D3" s="15">
        <v>0</v>
      </c>
      <c r="E3" s="15">
        <v>0</v>
      </c>
      <c r="F3" s="15">
        <v>0</v>
      </c>
      <c r="G3" s="26">
        <f t="shared" ref="G3:G9" si="0">SUM(B3:F3)</f>
        <v>1</v>
      </c>
      <c r="H3" s="20"/>
      <c r="I3" s="20"/>
      <c r="J3" s="20"/>
      <c r="K3" s="20"/>
    </row>
    <row r="4" spans="1:11" ht="25.5" x14ac:dyDescent="0.25">
      <c r="A4" s="24" t="s">
        <v>105</v>
      </c>
      <c r="B4" s="15">
        <v>0</v>
      </c>
      <c r="C4" s="15">
        <v>0</v>
      </c>
      <c r="D4" s="25">
        <v>2</v>
      </c>
      <c r="E4" s="15">
        <v>0</v>
      </c>
      <c r="F4" s="15">
        <v>0</v>
      </c>
      <c r="G4" s="26">
        <f t="shared" si="0"/>
        <v>2</v>
      </c>
      <c r="H4" s="20"/>
      <c r="I4" s="20"/>
      <c r="J4" s="20"/>
      <c r="K4" s="20"/>
    </row>
    <row r="5" spans="1:11" ht="48" customHeight="1" x14ac:dyDescent="0.25">
      <c r="A5" s="24" t="s">
        <v>106</v>
      </c>
      <c r="B5" s="25">
        <v>5</v>
      </c>
      <c r="C5" s="15">
        <v>0</v>
      </c>
      <c r="D5" s="15">
        <v>0</v>
      </c>
      <c r="E5" s="15">
        <v>0</v>
      </c>
      <c r="F5" s="15">
        <v>0</v>
      </c>
      <c r="G5" s="26">
        <f t="shared" si="0"/>
        <v>5</v>
      </c>
      <c r="H5" s="20"/>
      <c r="I5" s="20"/>
      <c r="J5" s="20"/>
      <c r="K5" s="20"/>
    </row>
    <row r="6" spans="1:11" ht="50.25" customHeight="1" x14ac:dyDescent="0.25">
      <c r="A6" s="24" t="s">
        <v>107</v>
      </c>
      <c r="B6" s="15">
        <v>0</v>
      </c>
      <c r="C6" s="25">
        <v>5</v>
      </c>
      <c r="D6" s="15">
        <v>0</v>
      </c>
      <c r="E6" s="15">
        <v>0</v>
      </c>
      <c r="F6" s="15">
        <v>0</v>
      </c>
      <c r="G6" s="26">
        <f t="shared" si="0"/>
        <v>5</v>
      </c>
      <c r="H6" s="20"/>
      <c r="I6" s="20"/>
      <c r="J6" s="20"/>
      <c r="K6" s="20"/>
    </row>
    <row r="7" spans="1:11" ht="35.25" customHeight="1" x14ac:dyDescent="0.25">
      <c r="A7" s="24" t="s">
        <v>108</v>
      </c>
      <c r="B7" s="15">
        <v>0</v>
      </c>
      <c r="C7" s="15">
        <v>0</v>
      </c>
      <c r="D7" s="25">
        <v>2</v>
      </c>
      <c r="E7" s="15">
        <v>0</v>
      </c>
      <c r="F7" s="15">
        <v>0</v>
      </c>
      <c r="G7" s="26">
        <f t="shared" si="0"/>
        <v>2</v>
      </c>
      <c r="H7" s="20"/>
      <c r="I7" s="20"/>
      <c r="J7" s="20"/>
      <c r="K7" s="20"/>
    </row>
    <row r="8" spans="1:11" ht="49.5" customHeight="1" x14ac:dyDescent="0.25">
      <c r="A8" s="24" t="s">
        <v>109</v>
      </c>
      <c r="B8" s="15">
        <v>0</v>
      </c>
      <c r="C8" s="15">
        <v>0</v>
      </c>
      <c r="D8" s="25">
        <v>2</v>
      </c>
      <c r="E8" s="25">
        <v>6</v>
      </c>
      <c r="F8" s="15">
        <v>0</v>
      </c>
      <c r="G8" s="26">
        <f t="shared" si="0"/>
        <v>8</v>
      </c>
      <c r="H8" s="20"/>
      <c r="I8" s="20"/>
      <c r="J8" s="20"/>
      <c r="K8" s="20"/>
    </row>
    <row r="9" spans="1:11" ht="38.25" customHeight="1" x14ac:dyDescent="0.25">
      <c r="A9" s="24" t="s">
        <v>110</v>
      </c>
      <c r="B9" s="15">
        <v>0</v>
      </c>
      <c r="C9" s="15">
        <v>0</v>
      </c>
      <c r="D9" s="15">
        <v>0</v>
      </c>
      <c r="E9" s="15">
        <v>0</v>
      </c>
      <c r="F9" s="25">
        <v>3</v>
      </c>
      <c r="G9" s="26">
        <f t="shared" si="0"/>
        <v>3</v>
      </c>
      <c r="H9" s="20"/>
      <c r="I9" s="20"/>
      <c r="J9" s="20"/>
      <c r="K9" s="20"/>
    </row>
    <row r="10" spans="1:1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1" x14ac:dyDescent="0.25">
      <c r="A12" s="27" t="s">
        <v>112</v>
      </c>
      <c r="B12" s="27" t="s">
        <v>113</v>
      </c>
      <c r="C12" s="27" t="s">
        <v>114</v>
      </c>
      <c r="D12" s="27" t="s">
        <v>115</v>
      </c>
      <c r="E12" s="27" t="s">
        <v>116</v>
      </c>
      <c r="F12" s="27" t="s">
        <v>117</v>
      </c>
      <c r="G12" s="27" t="s">
        <v>118</v>
      </c>
      <c r="H12" s="27" t="s">
        <v>119</v>
      </c>
      <c r="I12" s="27" t="s">
        <v>120</v>
      </c>
      <c r="J12" s="27" t="s">
        <v>121</v>
      </c>
      <c r="K12" s="27" t="s">
        <v>122</v>
      </c>
    </row>
    <row r="13" spans="1:11" ht="27.75" customHeight="1" x14ac:dyDescent="0.25">
      <c r="A13" s="28" t="s">
        <v>123</v>
      </c>
      <c r="B13" s="29" t="s">
        <v>124</v>
      </c>
      <c r="C13" s="30"/>
      <c r="D13" s="30"/>
      <c r="E13" s="30"/>
      <c r="F13" s="30"/>
      <c r="G13" s="30"/>
      <c r="H13" s="30"/>
      <c r="I13" s="30"/>
      <c r="J13" s="30"/>
      <c r="K13" s="30"/>
    </row>
    <row r="14" spans="1:11" ht="17.25" customHeight="1" x14ac:dyDescent="0.25">
      <c r="A14" s="28" t="s">
        <v>125</v>
      </c>
      <c r="B14" s="29" t="s">
        <v>124</v>
      </c>
      <c r="C14" s="29" t="s">
        <v>124</v>
      </c>
      <c r="D14" s="29" t="s">
        <v>124</v>
      </c>
      <c r="E14" s="29" t="s">
        <v>124</v>
      </c>
      <c r="F14" s="29" t="s">
        <v>124</v>
      </c>
      <c r="G14" s="29" t="s">
        <v>124</v>
      </c>
      <c r="H14" s="29" t="s">
        <v>124</v>
      </c>
      <c r="I14" s="29" t="s">
        <v>124</v>
      </c>
      <c r="J14" s="29" t="s">
        <v>124</v>
      </c>
      <c r="K14" s="29" t="s">
        <v>124</v>
      </c>
    </row>
    <row r="15" spans="1:11" ht="27.75" customHeight="1" x14ac:dyDescent="0.25">
      <c r="A15" s="28" t="s">
        <v>126</v>
      </c>
      <c r="B15" s="30"/>
      <c r="C15" s="30"/>
      <c r="D15" s="30"/>
      <c r="E15" s="30"/>
      <c r="F15" s="29" t="s">
        <v>124</v>
      </c>
      <c r="G15" s="30"/>
      <c r="H15" s="30"/>
      <c r="I15" s="30"/>
      <c r="J15" s="30"/>
      <c r="K15" s="30"/>
    </row>
    <row r="16" spans="1:11" ht="16.5" customHeight="1" x14ac:dyDescent="0.25">
      <c r="A16" s="28" t="s">
        <v>127</v>
      </c>
      <c r="B16" s="30"/>
      <c r="C16" s="30"/>
      <c r="D16" s="30"/>
      <c r="E16" s="30"/>
      <c r="F16" s="30"/>
      <c r="G16" s="30"/>
      <c r="H16" s="30"/>
      <c r="I16" s="30"/>
      <c r="J16" s="30"/>
      <c r="K16" s="29" t="s">
        <v>124</v>
      </c>
    </row>
    <row r="17" spans="1:11" ht="18.75" customHeight="1" x14ac:dyDescent="0.25">
      <c r="A17" s="28" t="s">
        <v>128</v>
      </c>
      <c r="B17" s="30"/>
      <c r="C17" s="30"/>
      <c r="D17" s="30"/>
      <c r="E17" s="30"/>
      <c r="F17" s="30"/>
      <c r="G17" s="30"/>
      <c r="H17" s="30"/>
      <c r="I17" s="30"/>
      <c r="J17" s="30"/>
      <c r="K17" s="29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Historias de usuario</vt:lpstr>
      <vt:lpstr>Estimación por PERT</vt:lpstr>
      <vt:lpstr>Planning Poker</vt:lpstr>
      <vt:lpstr>Capacidad del equipo</vt:lpstr>
      <vt:lpstr>Release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Adolfo Gallego Beltran</dc:creator>
  <cp:lastModifiedBy>Gustavo Adolfo Gallego Beltran</cp:lastModifiedBy>
  <dcterms:created xsi:type="dcterms:W3CDTF">2026-09-22T05:59:53Z</dcterms:created>
  <dcterms:modified xsi:type="dcterms:W3CDTF">2026-09-22T06:14:11Z</dcterms:modified>
</cp:coreProperties>
</file>